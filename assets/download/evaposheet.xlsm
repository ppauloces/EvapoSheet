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ulo Amaral\Desktop\"/>
    </mc:Choice>
  </mc:AlternateContent>
  <xr:revisionPtr revIDLastSave="0" documentId="13_ncr:1_{441C6561-C79E-46CA-9700-273AAFDDCB41}" xr6:coauthVersionLast="47" xr6:coauthVersionMax="47" xr10:uidLastSave="{00000000-0000-0000-0000-000000000000}"/>
  <bookViews>
    <workbookView xWindow="-120" yWindow="-120" windowWidth="20730" windowHeight="11160" xr2:uid="{CCB41FE8-91CD-4BCF-8BBF-A39106803EDF}"/>
  </bookViews>
  <sheets>
    <sheet name="EvapoSheet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K11" i="2" l="1"/>
  <c r="J11" i="2"/>
  <c r="C11" i="2"/>
  <c r="D11" i="2"/>
  <c r="E11" i="2"/>
  <c r="F11" i="2"/>
  <c r="G11" i="2"/>
  <c r="H11" i="2"/>
  <c r="I11" i="2"/>
  <c r="L11" i="2"/>
  <c r="M11" i="2"/>
  <c r="A15" i="2" l="1"/>
  <c r="B15" i="2" l="1"/>
  <c r="D15" i="2" s="1"/>
</calcChain>
</file>

<file path=xl/sharedStrings.xml><?xml version="1.0" encoding="utf-8"?>
<sst xmlns="http://schemas.openxmlformats.org/spreadsheetml/2006/main" count="32" uniqueCount="32">
  <si>
    <t>Indice de temperatura (I)</t>
  </si>
  <si>
    <t>Parâmetro a</t>
  </si>
  <si>
    <t>Clique aqui para encontrar dados e valores necessários: https://pt.climate-data.org/</t>
  </si>
  <si>
    <t>Temperatura média (°C)</t>
  </si>
  <si>
    <t>IFBA Campus Eunápolis</t>
  </si>
  <si>
    <t>PRPGI / PIBITI-EM 2022/2023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</si>
  <si>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</si>
  <si>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</si>
  <si>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</si>
  <si>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</si>
  <si>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</si>
  <si>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</si>
  <si>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</si>
  <si>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</si>
  <si>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</si>
  <si>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</si>
  <si>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</si>
  <si>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</si>
  <si>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 xml:space="preserve">EvapoSheet - planilha para cálulo da evapotranspitação potencial mensal de Método de Thornthwaite </t>
  </si>
  <si>
    <t>Valor da ETP (mm)</t>
  </si>
  <si>
    <t>Temperatura ºC do mês desejado</t>
  </si>
  <si>
    <t>→</t>
  </si>
  <si>
    <r>
      <t xml:space="preserve">Para utilizar a planilha, basta adicionar os valores da temperatura média, nas celulas abaixo de cada mês respectivo </t>
    </r>
    <r>
      <rPr>
        <b/>
        <sz val="11"/>
        <color theme="1"/>
        <rFont val="Calibri"/>
        <family val="2"/>
        <scheme val="minor"/>
      </rPr>
      <t>(B10:M10)</t>
    </r>
  </si>
  <si>
    <t>Equipe executora:</t>
  </si>
  <si>
    <t>Paulo César Barreto Amaral</t>
  </si>
  <si>
    <t>Adriana de Oliveira Angeli</t>
  </si>
  <si>
    <t>Davi Santiago Aquino</t>
  </si>
  <si>
    <r>
      <t xml:space="preserve">Adicione a temperatura do mês/ano (°C) na celula </t>
    </r>
    <r>
      <rPr>
        <b/>
        <sz val="11"/>
        <color theme="1"/>
        <rFont val="Calibri"/>
        <family val="2"/>
        <scheme val="minor"/>
      </rPr>
      <t>C12</t>
    </r>
  </si>
  <si>
    <t>http://lattes.cnpq.br/2142868814135719</t>
  </si>
  <si>
    <t xml:space="preserve">http://lattes.cnpq.br/8377028290158503 </t>
  </si>
  <si>
    <t xml:space="preserve">http://lattes.cnpq.br/9241150023868175 </t>
  </si>
  <si>
    <t>Currículo Lattes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</si>
</sst>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CCCCCC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1" applyProtection="1"/>
    <xf numFmtId="0" fontId="7" fillId="5" borderId="2" xfId="0" applyFont="1" applyFill="1" applyBorder="1" applyAlignment="1" applyProtection="1">
      <alignment horizontal="center" vertical="center" wrapText="1"/>
      <protection locked="0"/>
    </xf>
    <xf numFmtId="0" fontId="7" fillId="5" borderId="5" xfId="0" applyFont="1" applyFill="1" applyBorder="1" applyAlignment="1" applyProtection="1">
      <alignment horizontal="center" vertical="center" wrapText="1"/>
      <protection locked="0"/>
    </xf>
    <xf numFmtId="0" fontId="7" fillId="5" borderId="1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right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 wrapText="1"/>
    </xf>
    <xf numFmtId="2" fontId="7" fillId="0" borderId="3" xfId="0" applyNumberFormat="1" applyFont="1" applyBorder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horizontal="center" vertical="center"/>
    </xf>
    <xf numFmtId="0" fontId="2" fillId="0" borderId="0" xfId="1" applyAlignment="1" applyProtection="1">
      <alignment vertical="center"/>
    </xf>
    <xf numFmtId="0" fontId="5" fillId="3" borderId="4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5" borderId="0" xfId="0" applyFill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/>
    </xf>
    <xf numFmtId="2" fontId="8" fillId="4" borderId="3" xfId="0" applyNumberFormat="1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160882</xdr:colOff>
      <xdr:row>0</xdr:row>
      <xdr:rowOff>142876</xdr:rowOff>
    </xdr:from>
    <xdr:to>
      <xdr:col>1</xdr:col>
      <xdr:colOff>495300</xdr:colOff>
      <xdr:row>3</xdr:row>
      <xdr:rowOff>168596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A34D2FD-1AE6-4CB7-925A-578B8597E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882" y="142876"/>
          <a:ext cx="1906043" cy="711520"/>
        </a:xfrm>
        <a:prstGeom prst="rect">
          <a:avLst/>
        </a:prstGeom>
      </xdr:spPr>
    </xdr:pic>
    <xdr:clientData/>
  </xdr:twoCellAnchor>
  <xdr:twoCellAnchor>
    <xdr:from>
      <xdr:col>5</xdr:col>
      <xdr:colOff>304800</xdr:colOff>
      <xdr:row>11</xdr:row>
      <xdr:rowOff>76200</xdr:rowOff>
    </xdr:from>
    <xdr:to>
      <xdr:col>7</xdr:col>
      <xdr:colOff>457200</xdr:colOff>
      <xdr:row>12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AA1D3E6-BA0F-A539-BFBC-2583BFE5E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466975"/>
          <a:ext cx="139065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180975</xdr:colOff>
      <xdr:row>11</xdr:row>
      <xdr:rowOff>28575</xdr:rowOff>
    </xdr:from>
    <xdr:to>
      <xdr:col>9</xdr:col>
      <xdr:colOff>542925</xdr:colOff>
      <xdr:row>13</xdr:row>
      <xdr:rowOff>38100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C7EEE4-068B-A486-FB26-F8E44C6F0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6475" y="2419350"/>
          <a:ext cx="981075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304800</xdr:colOff>
      <xdr:row>13</xdr:row>
      <xdr:rowOff>180975</xdr:rowOff>
    </xdr:from>
    <xdr:to>
      <xdr:col>12</xdr:col>
      <xdr:colOff>171450</xdr:colOff>
      <xdr:row>15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730B7F9-4B3D-C838-D02D-74EED41E0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3114675"/>
          <a:ext cx="42005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600075</xdr:colOff>
      <xdr:row>10</xdr:row>
      <xdr:rowOff>47625</xdr:rowOff>
    </xdr:from>
    <xdr:ext cx="417935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8BCCE4E7-7463-66B4-52D0-B23946EE7EBF}"/>
                </a:ext>
              </a:extLst>
            </xdr:cNvPr>
            <xdr:cNvSpPr txBox="1"/>
          </xdr:nvSpPr>
          <xdr:spPr>
            <a:xfrm>
              <a:off x="600075" y="2238375"/>
              <a:ext cx="417935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pt-BR" sz="9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pt-BR" sz="9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9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pt-BR" sz="9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pt-BR" sz="900" b="0" i="0">
                                        <a:latin typeface="Cambria Math" panose="02040503050406030204" pitchFamily="18" charset="0"/>
                                      </a:rPr>
                                      <m:t>T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pt-BR" sz="900" b="0" i="0">
                                        <a:latin typeface="Cambria Math" panose="02040503050406030204" pitchFamily="18" charset="0"/>
                                      </a:rPr>
                                      <m:t>j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pt-BR" sz="900" b="0" i="0">
                                    <a:latin typeface="Cambria Math" panose="02040503050406030204" pitchFamily="18" charset="0"/>
                                  </a:rPr>
                                  <m:t>5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pt-BR" sz="900" b="0" i="0">
                            <a:latin typeface="Cambria Math" panose="02040503050406030204" pitchFamily="18" charset="0"/>
                          </a:rPr>
                          <m:t>1,514</m:t>
                        </m:r>
                      </m:sup>
                    </m:sSup>
                  </m:oMath>
                </m:oMathPara>
              </a14:m>
              <a:endParaRPr lang="pt-BR" sz="900" i="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8BCCE4E7-7463-66B4-52D0-B23946EE7EBF}"/>
                </a:ext>
              </a:extLst>
            </xdr:cNvPr>
            <xdr:cNvSpPr txBox="1"/>
          </xdr:nvSpPr>
          <xdr:spPr>
            <a:xfrm>
              <a:off x="600075" y="2238375"/>
              <a:ext cx="417935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900" i="0">
                  <a:latin typeface="Cambria Math" panose="02040503050406030204" pitchFamily="18" charset="0"/>
                </a:rPr>
                <a:t>[</a:t>
              </a:r>
              <a:r>
                <a:rPr lang="pt-BR" sz="900" b="0" i="0">
                  <a:latin typeface="Cambria Math" panose="02040503050406030204" pitchFamily="18" charset="0"/>
                </a:rPr>
                <a:t>T_j/5]^1,514</a:t>
              </a:r>
              <a:endParaRPr lang="pt-BR" sz="900" i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lattes.cnpq.br/8377028290158503" TargetMode="External"/><Relationship Id="rId2" Type="http://schemas.openxmlformats.org/officeDocument/2006/relationships/hyperlink" Target="http://lattes.cnpq.br/2142868814135719" TargetMode="External"/><Relationship Id="rId1" Type="http://schemas.openxmlformats.org/officeDocument/2006/relationships/hyperlink" Target="https://pt.climate-data.org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lattes.cnpq.br/924115002386817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1B7F-7E8B-478C-99AD-2A2C69ABB360}">
  <sheetPr codeName="Planilha1"/>
  <dimension ref="A1:R18"/>
  <sheetViews>
    <sheetView tabSelected="1" workbookViewId="0">
      <selection activeCell="G10" sqref="G10"/>
    </sheetView>
  </sheetViews>
  <sheetFormatPr defaultRowHeight="15" x14ac:dyDescent="0.25"/>
  <cols>
    <col min="1" max="1" width="23.5703125" bestFit="1" customWidth="1"/>
    <col min="2" max="13" width="9.28515625" customWidth="1"/>
    <col min="14" max="14" width="2.42578125" customWidth="1"/>
  </cols>
  <sheetData>
    <row r="1" spans="1:18" ht="18" customHeight="1" x14ac:dyDescent="0.25">
      <c r="C1" s="27" t="s">
        <v>18</v>
      </c>
      <c r="D1" s="27"/>
      <c r="E1" s="27"/>
      <c r="F1" s="27"/>
      <c r="G1" s="27"/>
      <c r="H1" s="27"/>
      <c r="I1" s="24" t="s">
        <v>23</v>
      </c>
      <c r="J1" s="24"/>
      <c r="K1" s="24"/>
      <c r="L1" s="24"/>
      <c r="M1" s="24"/>
      <c r="O1" s="19" t="s">
        <v>31</v>
      </c>
      <c r="P1" s="19"/>
      <c r="Q1" s="19"/>
      <c r="R1" s="19"/>
    </row>
    <row r="2" spans="1:18" ht="18" customHeight="1" x14ac:dyDescent="0.25">
      <c r="C2" s="27"/>
      <c r="D2" s="27"/>
      <c r="E2" s="27"/>
      <c r="F2" s="27"/>
      <c r="G2" s="27"/>
      <c r="H2" s="27"/>
      <c r="I2" s="25" t="s">
        <v>24</v>
      </c>
      <c r="J2" s="25"/>
      <c r="K2" s="25"/>
      <c r="L2" s="25"/>
      <c r="M2" s="25"/>
      <c r="O2" s="1" t="s">
        <v>30</v>
      </c>
    </row>
    <row r="3" spans="1:18" ht="18" customHeight="1" x14ac:dyDescent="0.25">
      <c r="C3" s="26" t="s">
        <v>4</v>
      </c>
      <c r="D3" s="26"/>
      <c r="E3" s="26"/>
      <c r="F3" s="26"/>
      <c r="G3" s="26"/>
      <c r="H3" s="26"/>
      <c r="I3" s="25" t="s">
        <v>25</v>
      </c>
      <c r="J3" s="25"/>
      <c r="K3" s="25"/>
      <c r="L3" s="25"/>
      <c r="M3" s="25"/>
      <c r="O3" s="1" t="s">
        <v>29</v>
      </c>
    </row>
    <row r="4" spans="1:18" ht="18" customHeight="1" x14ac:dyDescent="0.25">
      <c r="C4" s="26" t="s">
        <v>5</v>
      </c>
      <c r="D4" s="26"/>
      <c r="E4" s="26"/>
      <c r="F4" s="26"/>
      <c r="G4" s="26"/>
      <c r="H4" s="26"/>
      <c r="I4" s="25" t="s">
        <v>26</v>
      </c>
      <c r="J4" s="25"/>
      <c r="K4" s="25"/>
      <c r="L4" s="25"/>
      <c r="M4" s="25"/>
      <c r="O4" s="1" t="s">
        <v>28</v>
      </c>
    </row>
    <row r="6" spans="1:18" ht="19.5" customHeight="1" x14ac:dyDescent="0.25">
      <c r="A6" s="20" t="s">
        <v>22</v>
      </c>
      <c r="B6" s="20"/>
      <c r="C6" s="20"/>
      <c r="D6" s="20"/>
      <c r="E6" s="20"/>
      <c r="F6" s="20"/>
      <c r="G6" s="20"/>
      <c r="H6" s="20"/>
      <c r="I6" s="20"/>
      <c r="J6" s="20"/>
      <c r="K6" s="20"/>
    </row>
    <row r="7" spans="1:18" ht="19.5" customHeight="1" x14ac:dyDescent="0.25">
      <c r="A7" s="20" t="s">
        <v>27</v>
      </c>
      <c r="B7" s="20"/>
      <c r="C7" s="20"/>
      <c r="D7" s="20"/>
      <c r="E7" s="15" t="s">
        <v>2</v>
      </c>
      <c r="F7" s="15"/>
      <c r="G7" s="15"/>
      <c r="H7" s="15"/>
      <c r="I7" s="15"/>
      <c r="J7" s="15"/>
    </row>
    <row r="8" spans="1:18" ht="15.75" thickBot="1" x14ac:dyDescent="0.3"/>
    <row r="9" spans="1:18" ht="15.75" thickBot="1" x14ac:dyDescent="0.3">
      <c r="B9" s="16" t="s">
        <v>6</v>
      </c>
      <c r="C9" s="17" t="s">
        <v>7</v>
      </c>
      <c r="D9" s="17" t="s">
        <v>8</v>
      </c>
      <c r="E9" s="17" t="s">
        <v>9</v>
      </c>
      <c r="F9" s="17" t="s">
        <v>10</v>
      </c>
      <c r="G9" s="17" t="s">
        <v>11</v>
      </c>
      <c r="H9" s="17" t="s">
        <v>12</v>
      </c>
      <c r="I9" s="17" t="s">
        <v>13</v>
      </c>
      <c r="J9" s="17" t="s">
        <v>14</v>
      </c>
      <c r="K9" s="17" t="s">
        <v>15</v>
      </c>
      <c r="L9" s="17" t="s">
        <v>16</v>
      </c>
      <c r="M9" s="18" t="s">
        <v>17</v>
      </c>
    </row>
    <row r="10" spans="1:18" ht="15.75" x14ac:dyDescent="0.25">
      <c r="A10" s="14" t="s">
        <v>3</v>
      </c>
      <c r="B10" s="2">
        <v>0</v>
      </c>
      <c r="C10" s="3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13"/>
    </row>
    <row r="11" spans="1:18" ht="31.5" customHeight="1" thickBot="1" x14ac:dyDescent="0.3">
      <c r="B11" s="11">
        <f>(B10/5)^1.514</f>
        <v>0</v>
      </c>
      <c r="C11" s="12">
        <f t="shared" ref="C11:M11" si="0">(C10/5)^1.514</f>
        <v>0</v>
      </c>
      <c r="D11" s="12">
        <f t="shared" si="0"/>
        <v>0</v>
      </c>
      <c r="E11" s="12">
        <f t="shared" si="0"/>
        <v>0</v>
      </c>
      <c r="F11" s="12">
        <f t="shared" si="0"/>
        <v>0</v>
      </c>
      <c r="G11" s="12">
        <f t="shared" si="0"/>
        <v>0</v>
      </c>
      <c r="H11" s="12">
        <f t="shared" si="0"/>
        <v>0</v>
      </c>
      <c r="I11" s="12">
        <f t="shared" si="0"/>
        <v>0</v>
      </c>
      <c r="J11" s="12">
        <f>(J10/5)^1.514</f>
        <v>0</v>
      </c>
      <c r="K11" s="12">
        <f>(K10/5)^1.514</f>
        <v>0</v>
      </c>
      <c r="L11" s="12">
        <f t="shared" si="0"/>
        <v>0</v>
      </c>
      <c r="M11" s="12">
        <f t="shared" si="0"/>
        <v>0</v>
      </c>
    </row>
    <row r="12" spans="1:18" ht="27.75" customHeight="1" thickBot="1" x14ac:dyDescent="0.3">
      <c r="A12" s="9" t="s">
        <v>20</v>
      </c>
      <c r="B12" s="10" t="s">
        <v>21</v>
      </c>
      <c r="C12" s="4">
        <v>0</v>
      </c>
    </row>
    <row r="14" spans="1:18" x14ac:dyDescent="0.25">
      <c r="A14" s="5" t="s">
        <v>0</v>
      </c>
      <c r="B14" s="21" t="s">
        <v>1</v>
      </c>
      <c r="C14" s="21"/>
      <c r="D14" s="21" t="s">
        <v>19</v>
      </c>
      <c r="E14" s="21"/>
    </row>
    <row r="15" spans="1:18" ht="15.75" x14ac:dyDescent="0.25">
      <c r="A15" s="6">
        <f>IF(COUNTA(B11:M11)="","",SUM(B11:M11))</f>
        <v>0</v>
      </c>
      <c r="B15" s="22">
        <f>0.000000675*A15^3-0.0000771*A15^2+0.01792*A15+0.49239</f>
        <v>0.49238999999999999</v>
      </c>
      <c r="C15" s="22"/>
      <c r="D15" s="23" t="e">
        <f>16*(10*C12/A15)^B15</f>
        <v>#DIV/0!</v>
      </c>
      <c r="E15" s="23"/>
    </row>
    <row r="16" spans="1:18" x14ac:dyDescent="0.25">
      <c r="A16" s="7"/>
    </row>
    <row r="18" spans="1:1" x14ac:dyDescent="0.25">
      <c r="A18" s="8"/>
    </row>
  </sheetData>
  <sheetProtection algorithmName="SHA-512" hashValue="jyzKhcwafSyrtB24S/P5xfrYRZtEMyVaPRP2aklKhRWY91IHlw5R4QxtSyRZUBJc/nRGkw9dNJWoIKgGLFf4rQ==" saltValue="g7I8DbJh3BjoYlo84og0AQ==" spinCount="100000" sheet="1" objects="1" scenarios="1"/>
  <protectedRanges>
    <protectedRange algorithmName="SHA-512" hashValue="CayX8oov0mIjyWVhSHQSC84iJkL8zV3WAapptlPuLOSCjT+fN6sJLJ3hG/72bgDmBtNITEZjJW5awh5fPPABDw==" saltValue="5jkFLj1OFpJw1IASvVIIDg==" spinCount="100000" sqref="C12" name="Intervalo2"/>
    <protectedRange algorithmName="SHA-512" hashValue="65vOc2+xfIcApAxU0uq/LhMnG/OOM1x8ziXA4qA06+7yg6nKs7hMdqtxtCHWgUZMxH0Z9v+6/vEIbIhQ8SfANw==" saltValue="DPGmL94RRQ3hwJ2OVh9fBw==" spinCount="100000" sqref="B10:M10" name="Intervalo1"/>
  </protectedRanges>
  <mergeCells count="14">
    <mergeCell ref="O1:R1"/>
    <mergeCell ref="A6:K6"/>
    <mergeCell ref="A7:D7"/>
    <mergeCell ref="B14:C14"/>
    <mergeCell ref="B15:C15"/>
    <mergeCell ref="D14:E14"/>
    <mergeCell ref="D15:E15"/>
    <mergeCell ref="I1:M1"/>
    <mergeCell ref="I2:M2"/>
    <mergeCell ref="I3:M3"/>
    <mergeCell ref="I4:M4"/>
    <mergeCell ref="C4:H4"/>
    <mergeCell ref="C3:H3"/>
    <mergeCell ref="C1:H2"/>
  </mergeCells>
  <hyperlinks>
    <hyperlink ref="E7" r:id="rId1" xr:uid="{31D56900-F0CC-458C-8BC0-047863429B85}"/>
    <hyperlink ref="O4" r:id="rId2" xr:uid="{B48D2E53-A798-4747-92F4-A5A007068A71}"/>
    <hyperlink ref="O3" r:id="rId3" xr:uid="{A0C53293-E3F8-42BF-8AF6-3F95FA08C0A3}"/>
    <hyperlink ref="O2" r:id="rId4" xr:uid="{6D4DCC88-9E8F-469F-AACB-93D900F42327}"/>
  </hyperlinks>
  <pageMargins left="0.511811024" right="0.511811024" top="0.78740157499999996" bottom="0.78740157499999996" header="0.31496062000000002" footer="0.31496062000000002"/>
  <pageSetup paperSize="9" orientation="portrait" horizontalDpi="360" verticalDpi="360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EvapoSheet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Amaral</dc:creator>
  <cp:lastModifiedBy>Paulo Cesar Barreto Amaral</cp:lastModifiedBy>
  <dcterms:created xsi:type="dcterms:W3CDTF">2023-08-26T19:44:55Z</dcterms:created>
  <dcterms:modified xsi:type="dcterms:W3CDTF">2023-10-01T21:37:33Z</dcterms:modified>
</cp:coreProperties>
</file>